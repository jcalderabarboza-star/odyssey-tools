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Monthly_Data" sheetId="1" state="visible" r:id="rId1"/>
    <sheet xmlns:r="http://schemas.openxmlformats.org/officeDocument/2006/relationships" name="Targets_Thresholds" sheetId="2" state="visible" r:id="rId2"/>
    <sheet xmlns:r="http://schemas.openxmlformats.org/officeDocument/2006/relationships" name="Warehouse_Daily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164" fontId="4" fillId="7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30" customHeight="1">
      <c r="A1" s="1" t="inlineStr">
        <is>
          <t>SUPPLY CHAIN KPI — MONTHLY PERFORMANCE DATA 2025</t>
        </is>
      </c>
    </row>
    <row r="2">
      <c r="A2" s="2" t="inlineStr">
        <is>
          <t>Source: SAP S/4HANA Export  |  Paragon Corp — Odyssey Program  |  Updated: March 2025</t>
        </is>
      </c>
    </row>
    <row r="3" ht="35" customHeight="1">
      <c r="A3" s="3" t="inlineStr">
        <is>
          <t>KPI</t>
        </is>
      </c>
      <c r="B3" s="3" t="inlineStr">
        <is>
          <t>Category</t>
        </is>
      </c>
      <c r="C3" s="3" t="inlineStr">
        <is>
          <t>Unit</t>
        </is>
      </c>
      <c r="D3" s="3" t="inlineStr">
        <is>
          <t>Target</t>
        </is>
      </c>
      <c r="E3" s="3" t="inlineStr">
        <is>
          <t>Jan-25</t>
        </is>
      </c>
      <c r="F3" s="3" t="inlineStr">
        <is>
          <t>Feb-25</t>
        </is>
      </c>
      <c r="G3" s="3" t="inlineStr">
        <is>
          <t>Mar-25</t>
        </is>
      </c>
      <c r="H3" s="3" t="inlineStr">
        <is>
          <t>Apr-25</t>
        </is>
      </c>
      <c r="I3" s="3" t="inlineStr">
        <is>
          <t>May-25</t>
        </is>
      </c>
      <c r="J3" s="3" t="inlineStr">
        <is>
          <t>Jun-25</t>
        </is>
      </c>
      <c r="K3" s="3" t="inlineStr">
        <is>
          <t>Jul-25</t>
        </is>
      </c>
      <c r="L3" s="3" t="inlineStr">
        <is>
          <t>Aug-25</t>
        </is>
      </c>
      <c r="M3" s="3" t="inlineStr">
        <is>
          <t>Sep-25</t>
        </is>
      </c>
      <c r="N3" s="3" t="inlineStr">
        <is>
          <t>YTD Avg</t>
        </is>
      </c>
    </row>
    <row r="4">
      <c r="A4" s="4" t="inlineStr">
        <is>
          <t>On Time Delivery Rate</t>
        </is>
      </c>
      <c r="B4" s="5" t="inlineStr">
        <is>
          <t>Distribution</t>
        </is>
      </c>
      <c r="C4" s="5" t="inlineStr">
        <is>
          <t>%</t>
        </is>
      </c>
      <c r="D4" s="6" t="n">
        <v>95</v>
      </c>
      <c r="E4" s="7" t="n">
        <v>91.2</v>
      </c>
      <c r="F4" s="8" t="n">
        <v>92.5</v>
      </c>
      <c r="G4" s="8" t="n">
        <v>93.09999999999999</v>
      </c>
      <c r="H4" s="8" t="n">
        <v>94</v>
      </c>
      <c r="I4" s="8" t="n">
        <v>93.8</v>
      </c>
      <c r="J4" s="8" t="n">
        <v>94.5</v>
      </c>
      <c r="K4" s="8" t="n">
        <v>93.2</v>
      </c>
      <c r="L4" s="8" t="n">
        <v>92.8</v>
      </c>
      <c r="M4" s="8" t="n">
        <v>93.5</v>
      </c>
      <c r="N4" s="9">
        <f>AVERAGE(E4:M4)</f>
        <v/>
      </c>
    </row>
    <row r="5">
      <c r="A5" s="10" t="inlineStr">
        <is>
          <t>Order Fill Rate</t>
        </is>
      </c>
      <c r="B5" s="11" t="inlineStr">
        <is>
          <t>Distribution</t>
        </is>
      </c>
      <c r="C5" s="11" t="inlineStr">
        <is>
          <t>%</t>
        </is>
      </c>
      <c r="D5" s="6" t="n">
        <v>98</v>
      </c>
      <c r="E5" s="8" t="n">
        <v>96.09999999999999</v>
      </c>
      <c r="F5" s="8" t="n">
        <v>96.8</v>
      </c>
      <c r="G5" s="8" t="n">
        <v>97.2</v>
      </c>
      <c r="H5" s="8" t="n">
        <v>97.5</v>
      </c>
      <c r="I5" s="8" t="n">
        <v>97.09999999999999</v>
      </c>
      <c r="J5" s="8" t="n">
        <v>97.8</v>
      </c>
      <c r="K5" s="8" t="n">
        <v>97.40000000000001</v>
      </c>
      <c r="L5" s="8" t="n">
        <v>96.90000000000001</v>
      </c>
      <c r="M5" s="8" t="n">
        <v>97</v>
      </c>
      <c r="N5" s="9">
        <f>AVERAGE(E5:M5)</f>
        <v/>
      </c>
    </row>
    <row r="6">
      <c r="A6" s="4" t="inlineStr">
        <is>
          <t>Inventory Accuracy</t>
        </is>
      </c>
      <c r="B6" s="5" t="inlineStr">
        <is>
          <t>Warehouse</t>
        </is>
      </c>
      <c r="C6" s="5" t="inlineStr">
        <is>
          <t>%</t>
        </is>
      </c>
      <c r="D6" s="6" t="n">
        <v>99</v>
      </c>
      <c r="E6" s="8" t="n">
        <v>98.2</v>
      </c>
      <c r="F6" s="8" t="n">
        <v>98.5</v>
      </c>
      <c r="G6" s="8" t="n">
        <v>98.8</v>
      </c>
      <c r="H6" s="12" t="n">
        <v>99.09999999999999</v>
      </c>
      <c r="I6" s="12" t="n">
        <v>99.3</v>
      </c>
      <c r="J6" s="12" t="n">
        <v>99.40000000000001</v>
      </c>
      <c r="K6" s="12" t="n">
        <v>99.40000000000001</v>
      </c>
      <c r="L6" s="12" t="n">
        <v>99.2</v>
      </c>
      <c r="M6" s="12" t="n">
        <v>99.09999999999999</v>
      </c>
      <c r="N6" s="9">
        <f>AVERAGE(E6:M6)</f>
        <v/>
      </c>
    </row>
    <row r="7">
      <c r="A7" s="10" t="inlineStr">
        <is>
          <t>Forecast Accuracy (MAPE)</t>
        </is>
      </c>
      <c r="B7" s="11" t="inlineStr">
        <is>
          <t>Planning</t>
        </is>
      </c>
      <c r="C7" s="11" t="inlineStr">
        <is>
          <t>%</t>
        </is>
      </c>
      <c r="D7" s="6" t="n">
        <v>10</v>
      </c>
      <c r="E7" s="7" t="n">
        <v>12.1</v>
      </c>
      <c r="F7" s="8" t="n">
        <v>11.5</v>
      </c>
      <c r="G7" s="8" t="n">
        <v>10.8</v>
      </c>
      <c r="H7" s="8" t="n">
        <v>10.2</v>
      </c>
      <c r="I7" s="12" t="n">
        <v>9.800000000000001</v>
      </c>
      <c r="J7" s="12" t="n">
        <v>9.1</v>
      </c>
      <c r="K7" s="12" t="n">
        <v>8.5</v>
      </c>
      <c r="L7" s="12" t="n">
        <v>8.800000000000001</v>
      </c>
      <c r="M7" s="12" t="n">
        <v>9.5</v>
      </c>
      <c r="N7" s="9">
        <f>AVERAGE(E7:M7)</f>
        <v/>
      </c>
    </row>
    <row r="8">
      <c r="A8" s="4" t="inlineStr">
        <is>
          <t>Warehouse Picking Accuracy</t>
        </is>
      </c>
      <c r="B8" s="5" t="inlineStr">
        <is>
          <t>Warehouse</t>
        </is>
      </c>
      <c r="C8" s="5" t="inlineStr">
        <is>
          <t>%</t>
        </is>
      </c>
      <c r="D8" s="6" t="n">
        <v>99.5</v>
      </c>
      <c r="E8" s="8" t="n">
        <v>97.8</v>
      </c>
      <c r="F8" s="8" t="n">
        <v>98.09999999999999</v>
      </c>
      <c r="G8" s="8" t="n">
        <v>98.3</v>
      </c>
      <c r="H8" s="8" t="n">
        <v>98.5</v>
      </c>
      <c r="I8" s="8" t="n">
        <v>98.7</v>
      </c>
      <c r="J8" s="8" t="n">
        <v>98.90000000000001</v>
      </c>
      <c r="K8" s="8" t="n">
        <v>98.7</v>
      </c>
      <c r="L8" s="8" t="n">
        <v>98.40000000000001</v>
      </c>
      <c r="M8" s="8" t="n">
        <v>98.5</v>
      </c>
      <c r="N8" s="9">
        <f>AVERAGE(E8:M8)</f>
        <v/>
      </c>
    </row>
    <row r="9">
      <c r="A9" s="10" t="inlineStr">
        <is>
          <t>Perfect Order Rate</t>
        </is>
      </c>
      <c r="B9" s="11" t="inlineStr">
        <is>
          <t>Distribution</t>
        </is>
      </c>
      <c r="C9" s="11" t="inlineStr">
        <is>
          <t>%</t>
        </is>
      </c>
      <c r="D9" s="6" t="n">
        <v>95</v>
      </c>
      <c r="E9" s="7" t="n">
        <v>88.2</v>
      </c>
      <c r="F9" s="7" t="n">
        <v>89.09999999999999</v>
      </c>
      <c r="G9" s="7" t="n">
        <v>89.8</v>
      </c>
      <c r="H9" s="7" t="n">
        <v>90.5</v>
      </c>
      <c r="I9" s="7" t="n">
        <v>90.8</v>
      </c>
      <c r="J9" s="7" t="n">
        <v>91.2</v>
      </c>
      <c r="K9" s="7" t="n">
        <v>90.8</v>
      </c>
      <c r="L9" s="7" t="n">
        <v>90.09999999999999</v>
      </c>
      <c r="M9" s="7" t="n">
        <v>90.3</v>
      </c>
      <c r="N9" s="9">
        <f>AVERAGE(E9:M9)</f>
        <v/>
      </c>
    </row>
    <row r="10">
      <c r="A10" s="4" t="inlineStr">
        <is>
          <t>Dock to Stock Time (hrs)</t>
        </is>
      </c>
      <c r="B10" s="5" t="inlineStr">
        <is>
          <t>Warehouse</t>
        </is>
      </c>
      <c r="C10" s="5" t="inlineStr">
        <is>
          <t>hrs</t>
        </is>
      </c>
      <c r="D10" s="6" t="n">
        <v>2</v>
      </c>
      <c r="E10" s="7" t="n">
        <v>2.8</v>
      </c>
      <c r="F10" s="7" t="n">
        <v>2.6</v>
      </c>
      <c r="G10" s="7" t="n">
        <v>2.5</v>
      </c>
      <c r="H10" s="8" t="n">
        <v>2.3</v>
      </c>
      <c r="I10" s="8" t="n">
        <v>2.2</v>
      </c>
      <c r="J10" s="8" t="n">
        <v>2.1</v>
      </c>
      <c r="K10" s="12" t="n">
        <v>2</v>
      </c>
      <c r="L10" s="8" t="n">
        <v>2.1</v>
      </c>
      <c r="M10" s="8" t="n">
        <v>2.2</v>
      </c>
      <c r="N10" s="9">
        <f>AVERAGE(E10:M10)</f>
        <v/>
      </c>
    </row>
    <row r="11">
      <c r="A11" s="10" t="inlineStr">
        <is>
          <t>Return Rate</t>
        </is>
      </c>
      <c r="B11" s="11" t="inlineStr">
        <is>
          <t>Distribution</t>
        </is>
      </c>
      <c r="C11" s="11" t="inlineStr">
        <is>
          <t>%</t>
        </is>
      </c>
      <c r="D11" s="6" t="n">
        <v>2</v>
      </c>
      <c r="E11" s="7" t="n">
        <v>3.1</v>
      </c>
      <c r="F11" s="7" t="n">
        <v>2.9</v>
      </c>
      <c r="G11" s="7" t="n">
        <v>2.7</v>
      </c>
      <c r="H11" s="7" t="n">
        <v>2.5</v>
      </c>
      <c r="I11" s="8" t="n">
        <v>2.4</v>
      </c>
      <c r="J11" s="8" t="n">
        <v>2.2</v>
      </c>
      <c r="K11" s="8" t="n">
        <v>2.1</v>
      </c>
      <c r="L11" s="8" t="n">
        <v>2.3</v>
      </c>
      <c r="M11" s="7" t="n">
        <v>2.5</v>
      </c>
      <c r="N11" s="9">
        <f>AVERAGE(E11:M11)</f>
        <v/>
      </c>
    </row>
    <row r="12">
      <c r="A12" s="4" t="inlineStr">
        <is>
          <t>Cost per Order (USD)</t>
        </is>
      </c>
      <c r="B12" s="5" t="inlineStr">
        <is>
          <t>Finance</t>
        </is>
      </c>
      <c r="C12" s="5" t="inlineStr">
        <is>
          <t>USD</t>
        </is>
      </c>
      <c r="D12" s="6" t="n">
        <v>5</v>
      </c>
      <c r="E12" s="7" t="n">
        <v>6.8</v>
      </c>
      <c r="F12" s="7" t="n">
        <v>6.5</v>
      </c>
      <c r="G12" s="7" t="n">
        <v>6.2</v>
      </c>
      <c r="H12" s="8" t="n">
        <v>5.9</v>
      </c>
      <c r="I12" s="8" t="n">
        <v>5.7</v>
      </c>
      <c r="J12" s="8" t="n">
        <v>5.5</v>
      </c>
      <c r="K12" s="8" t="n">
        <v>5.4</v>
      </c>
      <c r="L12" s="8" t="n">
        <v>5.6</v>
      </c>
      <c r="M12" s="8" t="n">
        <v>5.8</v>
      </c>
      <c r="N12" s="9">
        <f>AVERAGE(E12:M12)</f>
        <v/>
      </c>
    </row>
    <row r="13">
      <c r="A13" s="10" t="inlineStr">
        <is>
          <t>Labor Utilization</t>
        </is>
      </c>
      <c r="B13" s="11" t="inlineStr">
        <is>
          <t>Warehouse</t>
        </is>
      </c>
      <c r="C13" s="11" t="inlineStr">
        <is>
          <t>%</t>
        </is>
      </c>
      <c r="D13" s="6" t="n">
        <v>85</v>
      </c>
      <c r="E13" s="7" t="n">
        <v>78.2</v>
      </c>
      <c r="F13" s="7" t="n">
        <v>79.5</v>
      </c>
      <c r="G13" s="7" t="n">
        <v>80.09999999999999</v>
      </c>
      <c r="H13" s="7" t="n">
        <v>81.3</v>
      </c>
      <c r="I13" s="7" t="n">
        <v>82</v>
      </c>
      <c r="J13" s="8" t="n">
        <v>83.09999999999999</v>
      </c>
      <c r="K13" s="8" t="n">
        <v>83.5</v>
      </c>
      <c r="L13" s="8" t="n">
        <v>82.8</v>
      </c>
      <c r="M13" s="7" t="n">
        <v>81.8</v>
      </c>
      <c r="N13" s="9">
        <f>AVERAGE(E13:M13)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18" customWidth="1" min="3" max="3"/>
    <col width="18" customWidth="1" min="4" max="4"/>
    <col width="18" customWidth="1" min="5" max="5"/>
    <col width="32" customWidth="1" min="6" max="6"/>
  </cols>
  <sheetData>
    <row r="1" ht="28" customHeight="1">
      <c r="A1" s="13" t="inlineStr">
        <is>
          <t>KPI TARGETS &amp; ALERT THRESHOLDS</t>
        </is>
      </c>
    </row>
    <row r="2">
      <c r="A2" s="2" t="inlineStr">
        <is>
          <t>Benchmarks: Walmart SC Report, DHL Logistics Benchmark, FMCG Industry Standards</t>
        </is>
      </c>
    </row>
    <row r="3" ht="32" customHeight="1">
      <c r="A3" s="3" t="inlineStr">
        <is>
          <t>KPI</t>
        </is>
      </c>
      <c r="B3" s="3" t="inlineStr">
        <is>
          <t>Unit</t>
        </is>
      </c>
      <c r="C3" s="3" t="inlineStr">
        <is>
          <t>Green (On Target)</t>
        </is>
      </c>
      <c r="D3" s="3" t="inlineStr">
        <is>
          <t>Yellow (Near Target)</t>
        </is>
      </c>
      <c r="E3" s="3" t="inlineStr">
        <is>
          <t>Red (Off Target)</t>
        </is>
      </c>
      <c r="F3" s="3" t="inlineStr">
        <is>
          <t>Industry Benchmark</t>
        </is>
      </c>
    </row>
    <row r="4">
      <c r="A4" s="4" t="inlineStr">
        <is>
          <t>On Time Delivery Rate</t>
        </is>
      </c>
      <c r="B4" s="5" t="inlineStr">
        <is>
          <t>%</t>
        </is>
      </c>
      <c r="C4" s="14" t="inlineStr">
        <is>
          <t>≥ 95%</t>
        </is>
      </c>
      <c r="D4" s="15" t="inlineStr">
        <is>
          <t>92–94.9%</t>
        </is>
      </c>
      <c r="E4" s="16" t="inlineStr">
        <is>
          <t>&lt; 92%</t>
        </is>
      </c>
      <c r="F4" s="17" t="inlineStr">
        <is>
          <t>Walmart: 97% | DHL: 95%</t>
        </is>
      </c>
    </row>
    <row r="5">
      <c r="A5" s="10" t="inlineStr">
        <is>
          <t>Order Fill Rate</t>
        </is>
      </c>
      <c r="B5" s="11" t="inlineStr">
        <is>
          <t>%</t>
        </is>
      </c>
      <c r="C5" s="14" t="inlineStr">
        <is>
          <t>≥ 98%</t>
        </is>
      </c>
      <c r="D5" s="15" t="inlineStr">
        <is>
          <t>95–97.9%</t>
        </is>
      </c>
      <c r="E5" s="16" t="inlineStr">
        <is>
          <t>&lt; 95%</t>
        </is>
      </c>
      <c r="F5" s="17" t="inlineStr">
        <is>
          <t>FMCG avg: 97% | Best: 99%</t>
        </is>
      </c>
    </row>
    <row r="6">
      <c r="A6" s="4" t="inlineStr">
        <is>
          <t>Inventory Accuracy</t>
        </is>
      </c>
      <c r="B6" s="5" t="inlineStr">
        <is>
          <t>%</t>
        </is>
      </c>
      <c r="C6" s="14" t="inlineStr">
        <is>
          <t>≥ 99%</t>
        </is>
      </c>
      <c r="D6" s="15" t="inlineStr">
        <is>
          <t>97–98.9%</t>
        </is>
      </c>
      <c r="E6" s="16" t="inlineStr">
        <is>
          <t>&lt; 97%</t>
        </is>
      </c>
      <c r="F6" s="17" t="inlineStr">
        <is>
          <t>Best-in-class: 99.5%</t>
        </is>
      </c>
    </row>
    <row r="7">
      <c r="A7" s="10" t="inlineStr">
        <is>
          <t>Forecast Accuracy (MAPE)</t>
        </is>
      </c>
      <c r="B7" s="11" t="inlineStr">
        <is>
          <t>%</t>
        </is>
      </c>
      <c r="C7" s="14" t="inlineStr">
        <is>
          <t>&lt; 10%</t>
        </is>
      </c>
      <c r="D7" s="15" t="inlineStr">
        <is>
          <t>10–15%</t>
        </is>
      </c>
      <c r="E7" s="16" t="inlineStr">
        <is>
          <t>&gt; 15%</t>
        </is>
      </c>
      <c r="F7" s="17" t="inlineStr">
        <is>
          <t>FMCG avg: 12% | Best: 8%</t>
        </is>
      </c>
    </row>
    <row r="8">
      <c r="A8" s="4" t="inlineStr">
        <is>
          <t>Warehouse Picking Accuracy</t>
        </is>
      </c>
      <c r="B8" s="5" t="inlineStr">
        <is>
          <t>%</t>
        </is>
      </c>
      <c r="C8" s="14" t="inlineStr">
        <is>
          <t>≥ 99.5%</t>
        </is>
      </c>
      <c r="D8" s="15" t="inlineStr">
        <is>
          <t>97–99.4%</t>
        </is>
      </c>
      <c r="E8" s="16" t="inlineStr">
        <is>
          <t>&lt; 97%</t>
        </is>
      </c>
      <c r="F8" s="17" t="inlineStr">
        <is>
          <t>Industry: 99.5%</t>
        </is>
      </c>
    </row>
    <row r="9">
      <c r="A9" s="10" t="inlineStr">
        <is>
          <t>Perfect Order Rate</t>
        </is>
      </c>
      <c r="B9" s="11" t="inlineStr">
        <is>
          <t>%</t>
        </is>
      </c>
      <c r="C9" s="14" t="inlineStr">
        <is>
          <t>≥ 95%</t>
        </is>
      </c>
      <c r="D9" s="15" t="inlineStr">
        <is>
          <t>90–94.9%</t>
        </is>
      </c>
      <c r="E9" s="16" t="inlineStr">
        <is>
          <t>&lt; 90%</t>
        </is>
      </c>
      <c r="F9" s="17" t="inlineStr">
        <is>
          <t>Best-in-class: 98%</t>
        </is>
      </c>
    </row>
    <row r="10">
      <c r="A10" s="4" t="inlineStr">
        <is>
          <t>Dock to Stock Time</t>
        </is>
      </c>
      <c r="B10" s="5" t="inlineStr">
        <is>
          <t>hrs</t>
        </is>
      </c>
      <c r="C10" s="14" t="inlineStr">
        <is>
          <t>&lt; 2 hrs</t>
        </is>
      </c>
      <c r="D10" s="15" t="inlineStr">
        <is>
          <t>2–3 hrs</t>
        </is>
      </c>
      <c r="E10" s="16" t="inlineStr">
        <is>
          <t>&gt; 3 hrs</t>
        </is>
      </c>
      <c r="F10" s="17" t="inlineStr">
        <is>
          <t>Best practice: 1.5 hrs</t>
        </is>
      </c>
    </row>
    <row r="11">
      <c r="A11" s="10" t="inlineStr">
        <is>
          <t>Return Rate</t>
        </is>
      </c>
      <c r="B11" s="11" t="inlineStr">
        <is>
          <t>%</t>
        </is>
      </c>
      <c r="C11" s="14" t="inlineStr">
        <is>
          <t>&lt; 2%</t>
        </is>
      </c>
      <c r="D11" s="15" t="inlineStr">
        <is>
          <t>2–4%</t>
        </is>
      </c>
      <c r="E11" s="16" t="inlineStr">
        <is>
          <t>&gt; 4%</t>
        </is>
      </c>
      <c r="F11" s="17" t="inlineStr">
        <is>
          <t>E-commerce avg: 3%</t>
        </is>
      </c>
    </row>
    <row r="12">
      <c r="A12" s="4" t="inlineStr">
        <is>
          <t>Cost per Order</t>
        </is>
      </c>
      <c r="B12" s="5" t="inlineStr">
        <is>
          <t>USD</t>
        </is>
      </c>
      <c r="C12" s="14" t="inlineStr">
        <is>
          <t>&lt; $5</t>
        </is>
      </c>
      <c r="D12" s="15" t="inlineStr">
        <is>
          <t>$5–$7</t>
        </is>
      </c>
      <c r="E12" s="16" t="inlineStr">
        <is>
          <t>&gt; $7</t>
        </is>
      </c>
      <c r="F12" s="17" t="inlineStr">
        <is>
          <t>FMCG avg: $6</t>
        </is>
      </c>
    </row>
    <row r="13">
      <c r="A13" s="10" t="inlineStr">
        <is>
          <t>Labor Utilization</t>
        </is>
      </c>
      <c r="B13" s="11" t="inlineStr">
        <is>
          <t>%</t>
        </is>
      </c>
      <c r="C13" s="14" t="inlineStr">
        <is>
          <t>≥ 85%</t>
        </is>
      </c>
      <c r="D13" s="15" t="inlineStr">
        <is>
          <t>75–84.9%</t>
        </is>
      </c>
      <c r="E13" s="16" t="inlineStr">
        <is>
          <t>&lt; 75%</t>
        </is>
      </c>
      <c r="F13" s="17" t="inlineStr">
        <is>
          <t>Industry: 80–90%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28" customWidth="1" min="9" max="9"/>
  </cols>
  <sheetData>
    <row r="1" ht="28" customHeight="1">
      <c r="A1" s="13" t="inlineStr">
        <is>
          <t>WAREHOUSE OPERATIONS — DAILY LOG (SAMPLE WEEK — MARCH 2025)</t>
        </is>
      </c>
    </row>
    <row r="2">
      <c r="A2" s="2" t="inlineStr">
        <is>
          <t>Warehouse: NDC Jakarta  |  Shift: Day  |  System: Heron WMS</t>
        </is>
      </c>
    </row>
    <row r="3" ht="32" customHeight="1">
      <c r="A3" s="3" t="inlineStr">
        <is>
          <t>Date</t>
        </is>
      </c>
      <c r="B3" s="3" t="inlineStr">
        <is>
          <t>Orders Received</t>
        </is>
      </c>
      <c r="C3" s="3" t="inlineStr">
        <is>
          <t>Orders Picked</t>
        </is>
      </c>
      <c r="D3" s="3" t="inlineStr">
        <is>
          <t>Orders Shipped</t>
        </is>
      </c>
      <c r="E3" s="3" t="inlineStr">
        <is>
          <t>Pick Accuracy %</t>
        </is>
      </c>
      <c r="F3" s="3" t="inlineStr">
        <is>
          <t>On-Time Ship %</t>
        </is>
      </c>
      <c r="G3" s="3" t="inlineStr">
        <is>
          <t>Returns</t>
        </is>
      </c>
      <c r="H3" s="3" t="inlineStr">
        <is>
          <t>Labor Hours</t>
        </is>
      </c>
      <c r="I3" s="3" t="inlineStr">
        <is>
          <t>Notes</t>
        </is>
      </c>
    </row>
    <row r="4">
      <c r="A4" s="18" t="inlineStr">
        <is>
          <t>2025-03-03</t>
        </is>
      </c>
      <c r="B4" s="5" t="n">
        <v>450</v>
      </c>
      <c r="C4" s="5" t="n">
        <v>438</v>
      </c>
      <c r="D4" s="5" t="n">
        <v>435</v>
      </c>
      <c r="E4" s="15" t="n">
        <v>98.5</v>
      </c>
      <c r="F4" s="15" t="n">
        <v>96.7</v>
      </c>
      <c r="G4" s="5" t="n">
        <v>8</v>
      </c>
      <c r="H4" s="5" t="n">
        <v>42</v>
      </c>
      <c r="I4" s="18" t="inlineStr">
        <is>
          <t>Normal operations</t>
        </is>
      </c>
    </row>
    <row r="5">
      <c r="A5" s="19" t="inlineStr">
        <is>
          <t>2025-03-04</t>
        </is>
      </c>
      <c r="B5" s="11" t="n">
        <v>512</v>
      </c>
      <c r="C5" s="11" t="n">
        <v>498</v>
      </c>
      <c r="D5" s="11" t="n">
        <v>495</v>
      </c>
      <c r="E5" s="15" t="n">
        <v>98.2</v>
      </c>
      <c r="F5" s="15" t="n">
        <v>96.3</v>
      </c>
      <c r="G5" s="11" t="n">
        <v>11</v>
      </c>
      <c r="H5" s="11" t="n">
        <v>45</v>
      </c>
      <c r="I5" s="19" t="inlineStr">
        <is>
          <t>High volume — promo day</t>
        </is>
      </c>
    </row>
    <row r="6">
      <c r="A6" s="18" t="inlineStr">
        <is>
          <t>2025-03-05</t>
        </is>
      </c>
      <c r="B6" s="5" t="n">
        <v>389</v>
      </c>
      <c r="C6" s="5" t="n">
        <v>381</v>
      </c>
      <c r="D6" s="5" t="n">
        <v>378</v>
      </c>
      <c r="E6" s="14" t="n">
        <v>99.09999999999999</v>
      </c>
      <c r="F6" s="14" t="n">
        <v>97.2</v>
      </c>
      <c r="G6" s="5" t="n">
        <v>6</v>
      </c>
      <c r="H6" s="5" t="n">
        <v>40</v>
      </c>
      <c r="I6" s="18" t="inlineStr"/>
    </row>
    <row r="7">
      <c r="A7" s="19" t="inlineStr">
        <is>
          <t>2025-03-06</t>
        </is>
      </c>
      <c r="B7" s="11" t="n">
        <v>601</v>
      </c>
      <c r="C7" s="11" t="n">
        <v>575</v>
      </c>
      <c r="D7" s="11" t="n">
        <v>568</v>
      </c>
      <c r="E7" s="15" t="n">
        <v>97.8</v>
      </c>
      <c r="F7" s="16" t="n">
        <v>94.5</v>
      </c>
      <c r="G7" s="11" t="n">
        <v>15</v>
      </c>
      <c r="H7" s="11" t="n">
        <v>52</v>
      </c>
      <c r="I7" s="19" t="inlineStr">
        <is>
          <t>Partial system downtime 2hrs</t>
        </is>
      </c>
    </row>
    <row r="8">
      <c r="A8" s="18" t="inlineStr">
        <is>
          <t>2025-03-07</t>
        </is>
      </c>
      <c r="B8" s="5" t="n">
        <v>478</v>
      </c>
      <c r="C8" s="5" t="n">
        <v>468</v>
      </c>
      <c r="D8" s="5" t="n">
        <v>465</v>
      </c>
      <c r="E8" s="15" t="n">
        <v>98.7</v>
      </c>
      <c r="F8" s="14" t="n">
        <v>97.3</v>
      </c>
      <c r="G8" s="5" t="n">
        <v>9</v>
      </c>
      <c r="H8" s="5" t="n">
        <v>43</v>
      </c>
      <c r="I8" s="18" t="inlineStr"/>
    </row>
    <row r="9">
      <c r="A9" s="19" t="inlineStr">
        <is>
          <t>2025-03-10</t>
        </is>
      </c>
      <c r="B9" s="11" t="n">
        <v>425</v>
      </c>
      <c r="C9" s="11" t="n">
        <v>416</v>
      </c>
      <c r="D9" s="11" t="n">
        <v>413</v>
      </c>
      <c r="E9" s="15" t="n">
        <v>98.90000000000001</v>
      </c>
      <c r="F9" s="14" t="n">
        <v>97.5</v>
      </c>
      <c r="G9" s="11" t="n">
        <v>7</v>
      </c>
      <c r="H9" s="11" t="n">
        <v>41</v>
      </c>
      <c r="I9" s="19" t="inlineStr"/>
    </row>
    <row r="10">
      <c r="A10" s="18" t="inlineStr">
        <is>
          <t>2025-03-11</t>
        </is>
      </c>
      <c r="B10" s="5" t="n">
        <v>534</v>
      </c>
      <c r="C10" s="5" t="n">
        <v>521</v>
      </c>
      <c r="D10" s="5" t="n">
        <v>518</v>
      </c>
      <c r="E10" s="15" t="n">
        <v>98.3</v>
      </c>
      <c r="F10" s="15" t="n">
        <v>96.90000000000001</v>
      </c>
      <c r="G10" s="5" t="n">
        <v>12</v>
      </c>
      <c r="H10" s="5" t="n">
        <v>46</v>
      </c>
      <c r="I10" s="18" t="inlineStr">
        <is>
          <t>New staff onboarding</t>
        </is>
      </c>
    </row>
    <row r="11">
      <c r="A11" s="20" t="inlineStr">
        <is>
          <t>WEEK TOTAL / AVG</t>
        </is>
      </c>
      <c r="B11" s="21">
        <f>SUM(B4:B10)</f>
        <v/>
      </c>
      <c r="C11" s="21">
        <f>SUM(C4:C10)</f>
        <v/>
      </c>
      <c r="D11" s="21">
        <f>SUM(D4:D10)</f>
        <v/>
      </c>
      <c r="E11" s="22">
        <f>AVERAGE(E4:E10)</f>
        <v/>
      </c>
      <c r="F11" s="22">
        <f>AVERAGE(F4:F10)</f>
        <v/>
      </c>
      <c r="G11" s="21">
        <f>SUM(G4:G10)</f>
        <v/>
      </c>
      <c r="H11" s="21">
        <f>SUM(H4:H10)</f>
        <v/>
      </c>
      <c r="I11" s="23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2026-03-10T02:57:00Z</dcterms:created>
  <dcterms:modified xmlns:dcterms="http://purl.org/dc/terms/" xmlns:xsi="http://www.w3.org/2001/XMLSchema-instance" xsi:type="dcterms:W3CDTF">2026-03-10T02:57:00Z</dcterms:modified>
</cp:coreProperties>
</file>